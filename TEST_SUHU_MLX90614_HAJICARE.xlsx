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Pengujian_Suhu_MLX90614" sheetId="1" state="visible" r:id="rId1"/>
    <sheet xmlns:r="http://schemas.openxmlformats.org/officeDocument/2006/relationships" name="Ringkasan_Tabel_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b val="1"/>
      <color rgb="0003543F"/>
      <sz val="10"/>
    </font>
    <font>
      <name val="Calibri"/>
      <color rgb="002D3748"/>
      <sz val="10"/>
    </font>
    <font>
      <name val="Calibri"/>
      <b val="1"/>
      <color rgb="001A202C"/>
      <sz val="10"/>
    </font>
    <font>
      <name val="Calibri"/>
      <b val="1"/>
      <color rgb="001A365D"/>
      <sz val="11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EF7EC"/>
        <bgColor rgb="00DEF7EC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6" fillId="5" borderId="2" applyAlignment="1" pivotButton="0" quotePrefix="0" xfId="0">
      <alignment horizontal="center"/>
    </xf>
    <xf numFmtId="2" fontId="6" fillId="5" borderId="2" applyAlignment="1" pivotButton="0" quotePrefix="0" xfId="0">
      <alignment horizontal="right"/>
    </xf>
    <xf numFmtId="0" fontId="6" fillId="5" borderId="2" applyAlignment="1" pivotButton="0" quotePrefix="0" xfId="0">
      <alignment horizontal="left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18" customWidth="1" min="3" max="3"/>
    <col width="22" customWidth="1" min="4" max="4"/>
    <col width="18" customWidth="1" min="5" max="5"/>
    <col width="20" customWidth="1" min="6" max="6"/>
    <col width="18" customWidth="1" min="7" max="7"/>
    <col width="18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LAPORAN PENGUJIAN FAKTUAL SENSOR SUHU MLX90614</t>
        </is>
      </c>
    </row>
    <row r="2">
      <c r="A2" s="2" t="inlineStr">
        <is>
          <t>Smartband HajiCare ESP32-S3 (HCG-001) • Transmisi Bluetooth Low Energy (Nordic UART Service)</t>
        </is>
      </c>
    </row>
    <row r="3"/>
    <row r="4" ht="28" customHeight="1">
      <c r="A4" s="3" t="inlineStr">
        <is>
          <t>No. Pengujian</t>
        </is>
      </c>
      <c r="B4" s="3" t="inlineStr">
        <is>
          <t>Timestamp Log BLE (WIB)</t>
        </is>
      </c>
      <c r="C4" s="3" t="inlineStr">
        <is>
          <t>Kontak Sensor (Kulit)</t>
        </is>
      </c>
      <c r="D4" s="3" t="inlineStr">
        <is>
          <t>Waktu Respon / Interval (s)</t>
        </is>
      </c>
      <c r="E4" s="3" t="inlineStr">
        <is>
          <t>HajiCare Band (°C)</t>
        </is>
      </c>
      <c r="F4" s="3" t="inlineStr">
        <is>
          <t>Termometer Acuan (°C)</t>
        </is>
      </c>
      <c r="G4" s="3" t="inlineStr">
        <is>
          <t>Absolute Error (°C)</t>
        </is>
      </c>
      <c r="H4" s="3" t="inlineStr">
        <is>
          <t>Relative Error (%)</t>
        </is>
      </c>
      <c r="I4" s="3" t="inlineStr">
        <is>
          <t>Motion Accel (G)</t>
        </is>
      </c>
      <c r="J4" s="3" t="inlineStr">
        <is>
          <t>Status Respon</t>
        </is>
      </c>
      <c r="K4" s="3" t="inlineStr">
        <is>
          <t>Keterangan &amp; Respon Termal</t>
        </is>
      </c>
    </row>
    <row r="5" ht="20" customHeight="1">
      <c r="A5" s="4" t="inlineStr">
        <is>
          <t>Uji-01</t>
        </is>
      </c>
      <c r="B5" s="4" t="inlineStr">
        <is>
          <t>00:49:36.416</t>
        </is>
      </c>
      <c r="C5" s="4" t="inlineStr">
        <is>
          <t>Menempel (True)</t>
        </is>
      </c>
      <c r="D5" s="5" t="n">
        <v>2</v>
      </c>
      <c r="E5" s="5" t="n">
        <v>33.75</v>
      </c>
      <c r="F5" s="5" t="n">
        <v>34</v>
      </c>
      <c r="G5" s="5">
        <f>ABS(E5-F5)</f>
        <v/>
      </c>
      <c r="H5" s="5">
        <f>(G5/F5)*100</f>
        <v/>
      </c>
      <c r="I5" s="5" t="n">
        <v>0.99</v>
      </c>
      <c r="J5" s="6" t="inlineStr">
        <is>
          <t>BERHASIL</t>
        </is>
      </c>
      <c r="K5" s="7" t="inlineStr">
        <is>
          <t>Suhu permukaan kulit terbaca stabil kontinu</t>
        </is>
      </c>
    </row>
    <row r="6" ht="20" customHeight="1">
      <c r="A6" s="8" t="inlineStr">
        <is>
          <t>Uji-02</t>
        </is>
      </c>
      <c r="B6" s="8" t="inlineStr">
        <is>
          <t>00:49:38.425</t>
        </is>
      </c>
      <c r="C6" s="8" t="inlineStr">
        <is>
          <t>Menempel (True)</t>
        </is>
      </c>
      <c r="D6" s="9" t="n">
        <v>2.01</v>
      </c>
      <c r="E6" s="9" t="n">
        <v>33.75</v>
      </c>
      <c r="F6" s="9" t="n">
        <v>34</v>
      </c>
      <c r="G6" s="9">
        <f>ABS(E6-F6)</f>
        <v/>
      </c>
      <c r="H6" s="9">
        <f>(G6/F6)*100</f>
        <v/>
      </c>
      <c r="I6" s="9" t="n">
        <v>0.98</v>
      </c>
      <c r="J6" s="6" t="inlineStr">
        <is>
          <t>BERHASIL</t>
        </is>
      </c>
      <c r="K6" s="10" t="inlineStr">
        <is>
          <t>Pembacaan kontinu konsisten</t>
        </is>
      </c>
    </row>
    <row r="7" ht="20" customHeight="1">
      <c r="A7" s="4" t="inlineStr">
        <is>
          <t>Uji-03</t>
        </is>
      </c>
      <c r="B7" s="4" t="inlineStr">
        <is>
          <t>00:49:40.541</t>
        </is>
      </c>
      <c r="C7" s="4" t="inlineStr">
        <is>
          <t>Menempel (True)</t>
        </is>
      </c>
      <c r="D7" s="5" t="n">
        <v>2.12</v>
      </c>
      <c r="E7" s="5" t="n">
        <v>33.75</v>
      </c>
      <c r="F7" s="5" t="n">
        <v>34</v>
      </c>
      <c r="G7" s="5">
        <f>ABS(E7-F7)</f>
        <v/>
      </c>
      <c r="H7" s="5">
        <f>(G7/F7)*100</f>
        <v/>
      </c>
      <c r="I7" s="5" t="n">
        <v>0.98</v>
      </c>
      <c r="J7" s="6" t="inlineStr">
        <is>
          <t>BERHASIL</t>
        </is>
      </c>
      <c r="K7" s="7" t="inlineStr">
        <is>
          <t>Respon radiasi termal inframerah stabil</t>
        </is>
      </c>
    </row>
    <row r="8" ht="20" customHeight="1">
      <c r="A8" s="8" t="inlineStr">
        <is>
          <t>Uji-04</t>
        </is>
      </c>
      <c r="B8" s="8" t="inlineStr">
        <is>
          <t>00:49:42.485</t>
        </is>
      </c>
      <c r="C8" s="8" t="inlineStr">
        <is>
          <t>Menempel (True)</t>
        </is>
      </c>
      <c r="D8" s="9" t="n">
        <v>1.94</v>
      </c>
      <c r="E8" s="9" t="n">
        <v>33.75</v>
      </c>
      <c r="F8" s="9" t="n">
        <v>34</v>
      </c>
      <c r="G8" s="9">
        <f>ABS(E8-F8)</f>
        <v/>
      </c>
      <c r="H8" s="9">
        <f>(G8/F8)*100</f>
        <v/>
      </c>
      <c r="I8" s="9" t="n">
        <v>0.99</v>
      </c>
      <c r="J8" s="6" t="inlineStr">
        <is>
          <t>BERHASIL</t>
        </is>
      </c>
      <c r="K8" s="10" t="inlineStr">
        <is>
          <t>Pembacaan kontinu presisi</t>
        </is>
      </c>
    </row>
    <row r="9" ht="20" customHeight="1">
      <c r="A9" s="4" t="inlineStr">
        <is>
          <t>Uji-05</t>
        </is>
      </c>
      <c r="B9" s="4" t="inlineStr">
        <is>
          <t>00:49:44.562</t>
        </is>
      </c>
      <c r="C9" s="4" t="inlineStr">
        <is>
          <t>Menempel (True)</t>
        </is>
      </c>
      <c r="D9" s="5" t="n">
        <v>2.08</v>
      </c>
      <c r="E9" s="5" t="n">
        <v>33.88</v>
      </c>
      <c r="F9" s="5" t="n">
        <v>34</v>
      </c>
      <c r="G9" s="5">
        <f>ABS(E9-F9)</f>
        <v/>
      </c>
      <c r="H9" s="5">
        <f>(G9/F9)*100</f>
        <v/>
      </c>
      <c r="I9" s="5" t="n">
        <v>0.98</v>
      </c>
      <c r="J9" s="6" t="inlineStr">
        <is>
          <t>BERHASIL</t>
        </is>
      </c>
      <c r="K9" s="7" t="inlineStr">
        <is>
          <t>Fluktuasi termal mikro alami terdeteksi</t>
        </is>
      </c>
    </row>
    <row r="10" ht="20" customHeight="1">
      <c r="A10" s="8" t="inlineStr">
        <is>
          <t>Uji-06</t>
        </is>
      </c>
      <c r="B10" s="8" t="inlineStr">
        <is>
          <t>00:49:46.606</t>
        </is>
      </c>
      <c r="C10" s="8" t="inlineStr">
        <is>
          <t>Menempel (True)</t>
        </is>
      </c>
      <c r="D10" s="9" t="n">
        <v>2.04</v>
      </c>
      <c r="E10" s="9" t="n">
        <v>33.88</v>
      </c>
      <c r="F10" s="9" t="n">
        <v>34</v>
      </c>
      <c r="G10" s="9">
        <f>ABS(E10-F10)</f>
        <v/>
      </c>
      <c r="H10" s="9">
        <f>(G10/F10)*100</f>
        <v/>
      </c>
      <c r="I10" s="9" t="n">
        <v>0.96</v>
      </c>
      <c r="J10" s="6" t="inlineStr">
        <is>
          <t>BERHASIL</t>
        </is>
      </c>
      <c r="K10" s="10" t="inlineStr">
        <is>
          <t>Pembacaan kontinu stabil</t>
        </is>
      </c>
    </row>
    <row r="11" ht="20" customHeight="1">
      <c r="A11" s="4" t="inlineStr">
        <is>
          <t>Uji-07</t>
        </is>
      </c>
      <c r="B11" s="4" t="inlineStr">
        <is>
          <t>00:49:48.624</t>
        </is>
      </c>
      <c r="C11" s="4" t="inlineStr">
        <is>
          <t>Menempel (True)</t>
        </is>
      </c>
      <c r="D11" s="5" t="n">
        <v>2.02</v>
      </c>
      <c r="E11" s="5" t="n">
        <v>33.75</v>
      </c>
      <c r="F11" s="5" t="n">
        <v>34</v>
      </c>
      <c r="G11" s="5">
        <f>ABS(E11-F11)</f>
        <v/>
      </c>
      <c r="H11" s="5">
        <f>(G11/F11)*100</f>
        <v/>
      </c>
      <c r="I11" s="5" t="n">
        <v>0.99</v>
      </c>
      <c r="J11" s="6" t="inlineStr">
        <is>
          <t>BERHASIL</t>
        </is>
      </c>
      <c r="K11" s="7" t="inlineStr">
        <is>
          <t>Pembacaan kontinu konsisten</t>
        </is>
      </c>
    </row>
    <row r="12" ht="20" customHeight="1">
      <c r="A12" s="8" t="inlineStr">
        <is>
          <t>Uji-08</t>
        </is>
      </c>
      <c r="B12" s="8" t="inlineStr">
        <is>
          <t>00:49:50.667</t>
        </is>
      </c>
      <c r="C12" s="8" t="inlineStr">
        <is>
          <t>Menempel (True)</t>
        </is>
      </c>
      <c r="D12" s="9" t="n">
        <v>2.04</v>
      </c>
      <c r="E12" s="9" t="n">
        <v>33.75</v>
      </c>
      <c r="F12" s="9" t="n">
        <v>34</v>
      </c>
      <c r="G12" s="9">
        <f>ABS(E12-F12)</f>
        <v/>
      </c>
      <c r="H12" s="9">
        <f>(G12/F12)*100</f>
        <v/>
      </c>
      <c r="I12" s="9" t="n">
        <v>0.98</v>
      </c>
      <c r="J12" s="6" t="inlineStr">
        <is>
          <t>BERHASIL</t>
        </is>
      </c>
      <c r="K12" s="10" t="inlineStr">
        <is>
          <t>Pembacaan kontinu konsisten</t>
        </is>
      </c>
    </row>
    <row r="13" ht="20" customHeight="1">
      <c r="A13" s="4" t="inlineStr">
        <is>
          <t>Uji-09</t>
        </is>
      </c>
      <c r="B13" s="4" t="inlineStr">
        <is>
          <t>00:49:52.674</t>
        </is>
      </c>
      <c r="C13" s="4" t="inlineStr">
        <is>
          <t>Menempel (True)</t>
        </is>
      </c>
      <c r="D13" s="5" t="n">
        <v>2.01</v>
      </c>
      <c r="E13" s="5" t="n">
        <v>33.88</v>
      </c>
      <c r="F13" s="5" t="n">
        <v>34</v>
      </c>
      <c r="G13" s="5">
        <f>ABS(E13-F13)</f>
        <v/>
      </c>
      <c r="H13" s="5">
        <f>(G13/F13)*100</f>
        <v/>
      </c>
      <c r="I13" s="5" t="n">
        <v>0.99</v>
      </c>
      <c r="J13" s="6" t="inlineStr">
        <is>
          <t>BERHASIL</t>
        </is>
      </c>
      <c r="K13" s="7" t="inlineStr">
        <is>
          <t>Pembacaan kontinu stabil</t>
        </is>
      </c>
    </row>
    <row r="14" ht="20" customHeight="1">
      <c r="A14" s="8" t="inlineStr">
        <is>
          <t>Uji-10</t>
        </is>
      </c>
      <c r="B14" s="8" t="inlineStr">
        <is>
          <t>00:49:54.696</t>
        </is>
      </c>
      <c r="C14" s="8" t="inlineStr">
        <is>
          <t>Menempel (True)</t>
        </is>
      </c>
      <c r="D14" s="9" t="n">
        <v>2.02</v>
      </c>
      <c r="E14" s="9" t="n">
        <v>33.75</v>
      </c>
      <c r="F14" s="9" t="n">
        <v>34</v>
      </c>
      <c r="G14" s="9">
        <f>ABS(E14-F14)</f>
        <v/>
      </c>
      <c r="H14" s="9">
        <f>(G14/F14)*100</f>
        <v/>
      </c>
      <c r="I14" s="9" t="n">
        <v>0.98</v>
      </c>
      <c r="J14" s="6" t="inlineStr">
        <is>
          <t>BERHASIL</t>
        </is>
      </c>
      <c r="K14" s="10" t="inlineStr">
        <is>
          <t>10 sampel pengujian selesai tercapai</t>
        </is>
      </c>
    </row>
    <row r="15" ht="22" customHeight="1">
      <c r="A15" s="11" t="inlineStr">
        <is>
          <t>RATA-RATA</t>
        </is>
      </c>
      <c r="B15" s="11" t="inlineStr">
        <is>
          <t>10 Percobaan</t>
        </is>
      </c>
      <c r="C15" s="11" t="inlineStr">
        <is>
          <t>100% Kontak</t>
        </is>
      </c>
      <c r="D15" s="12">
        <f>AVERAGE(D5:D14)</f>
        <v/>
      </c>
      <c r="E15" s="12">
        <f>AVERAGE(E5:E14)</f>
        <v/>
      </c>
      <c r="F15" s="12">
        <f>AVERAGE(F5:F14)</f>
        <v/>
      </c>
      <c r="G15" s="12">
        <f>AVERAGE(G5:G14)</f>
        <v/>
      </c>
      <c r="H15" s="12">
        <f>AVERAGE(H5:H14)</f>
        <v/>
      </c>
      <c r="I15" s="12">
        <f>AVERAGE(I5:I14)</f>
        <v/>
      </c>
      <c r="J15" s="11" t="inlineStr">
        <is>
          <t>100.0%</t>
        </is>
      </c>
      <c r="K15" s="13" t="inlineStr">
        <is>
          <t>Seluruh 10 pengujian berhasil mengukur suhu stabil (Rentang: 33.75 - 33.88 °C)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6" customWidth="1" min="2" max="2"/>
    <col width="38" customWidth="1" min="3" max="3"/>
    <col width="20" customWidth="1" min="4" max="4"/>
    <col width="36" customWidth="1" min="5" max="5"/>
    <col width="46" customWidth="1" min="6" max="6"/>
  </cols>
  <sheetData>
    <row r="1">
      <c r="A1" s="1" t="inlineStr">
        <is>
          <t>REKAPITULASI VALIDASI RESMI SENSOR SMART BAND (DOKUMEN HAL. 5 &amp; 6)</t>
        </is>
      </c>
    </row>
    <row r="3">
      <c r="A3" s="14" t="inlineStr">
        <is>
          <t>1. Hasil Pengujian Sensor dan Fungsi Smart Band (Komponen Aktual - Hal. 5)</t>
        </is>
      </c>
    </row>
    <row r="4" ht="26" customHeight="1">
      <c r="A4" s="3" t="inlineStr">
        <is>
          <t>Komponen/Fungsi Aktual</t>
        </is>
      </c>
      <c r="B4" s="3" t="inlineStr">
        <is>
          <t>Parameter yang Diuji</t>
        </is>
      </c>
      <c r="C4" s="3" t="inlineStr">
        <is>
          <t>Alat atau Acuan</t>
        </is>
      </c>
      <c r="D4" s="3" t="inlineStr">
        <is>
          <t>Jumlah Pengukuran</t>
        </is>
      </c>
      <c r="E4" s="3" t="inlineStr">
        <is>
          <t>Hasil Pengukuran</t>
        </is>
      </c>
      <c r="F4" s="3" t="inlineStr">
        <is>
          <t>Error/Indikator Keberhasilan</t>
        </is>
      </c>
    </row>
    <row r="5" ht="22" customHeight="1">
      <c r="A5" s="15" t="inlineStr">
        <is>
          <t>MAX30102</t>
        </is>
      </c>
      <c r="B5" s="16" t="inlineStr">
        <is>
          <t>Denyut jantung, jika fungsi tersedia</t>
        </is>
      </c>
      <c r="C5" s="16" t="inlineStr">
        <is>
          <t>Alat pembanding yang sesuai (Pulse Oximeter)</t>
        </is>
      </c>
      <c r="D5" s="15" t="inlineStr">
        <is>
          <t>10</t>
        </is>
      </c>
      <c r="E5" s="17" t="inlineStr">
        <is>
          <t>73.6 BPM (rentang 69-81 BPM)</t>
        </is>
      </c>
      <c r="F5" s="17" t="inlineStr">
        <is>
          <t>Berhasil (100% deteksi denyut stabil kontinu &amp; contact-loss akurat)</t>
        </is>
      </c>
    </row>
    <row r="6" ht="22" customHeight="1">
      <c r="A6" s="15" t="inlineStr">
        <is>
          <t>MLX90614</t>
        </is>
      </c>
      <c r="B6" s="16" t="inlineStr">
        <is>
          <t>Suhu, sesuai besaran yang diukur</t>
        </is>
      </c>
      <c r="C6" s="16" t="inlineStr">
        <is>
          <t>Termometer referensi yang sesuai (Thermo Gun Medis)</t>
        </is>
      </c>
      <c r="D6" s="15" t="inlineStr">
        <is>
          <t>10</t>
        </is>
      </c>
      <c r="E6" s="17" t="inlineStr">
        <is>
          <t>33.79 °C (rentang 33.75 - 33.88 °C)</t>
        </is>
      </c>
      <c r="F6" s="17" t="inlineStr">
        <is>
          <t>Berhasil (Akurasi tinggi, rata-rata error 0.21 °C, stabilitas ±0.13 °C)</t>
        </is>
      </c>
    </row>
    <row r="7" ht="22" customHeight="1">
      <c r="A7" s="18" t="inlineStr">
        <is>
          <t>MPU6050</t>
        </is>
      </c>
      <c r="B7" s="19" t="inlineStr">
        <is>
          <t>Gerakan/orientasi sesuai implementasi</t>
        </is>
      </c>
      <c r="C7" s="19" t="inlineStr">
        <is>
          <t>Skenario pengujian terdefinisi</t>
        </is>
      </c>
      <c r="D7" s="18" t="inlineStr">
        <is>
          <t>—</t>
        </is>
      </c>
      <c r="E7" s="19" t="inlineStr">
        <is>
          <t>—</t>
        </is>
      </c>
      <c r="F7" s="19" t="inlineStr">
        <is>
          <t>—</t>
        </is>
      </c>
    </row>
    <row r="8" ht="22" customHeight="1">
      <c r="A8" s="18" t="inlineStr">
        <is>
          <t>Tombol SOS</t>
        </is>
      </c>
      <c r="B8" s="19" t="inlineStr">
        <is>
          <t>Aktivasi dan respons sistem</t>
        </is>
      </c>
      <c r="C8" s="19" t="inlineStr">
        <is>
          <t>Skenario pengujian terdefinisi</t>
        </is>
      </c>
      <c r="D8" s="18" t="inlineStr">
        <is>
          <t>—</t>
        </is>
      </c>
      <c r="E8" s="19" t="inlineStr">
        <is>
          <t>—</t>
        </is>
      </c>
      <c r="F8" s="19" t="inlineStr">
        <is>
          <t>—</t>
        </is>
      </c>
    </row>
    <row r="9" ht="22" customHeight="1">
      <c r="A9" s="18" t="inlineStr">
        <is>
          <t>Motor getar</t>
        </is>
      </c>
      <c r="B9" s="19" t="inlineStr">
        <is>
          <t>Respons terhadap pemicu</t>
        </is>
      </c>
      <c r="C9" s="19" t="inlineStr">
        <is>
          <t>Skenario pengujian terdefinisi</t>
        </is>
      </c>
      <c r="D9" s="18" t="inlineStr">
        <is>
          <t>—</t>
        </is>
      </c>
      <c r="E9" s="19" t="inlineStr">
        <is>
          <t>—</t>
        </is>
      </c>
      <c r="F9" s="19" t="inlineStr">
        <is>
          <t>—</t>
        </is>
      </c>
    </row>
    <row r="10" ht="22" customHeight="1">
      <c r="A10" s="18" t="inlineStr">
        <is>
          <t>OLED</t>
        </is>
      </c>
      <c r="B10" s="19" t="inlineStr">
        <is>
          <t>Tampilan indikator sistem</t>
        </is>
      </c>
      <c r="C10" s="19" t="inlineStr">
        <is>
          <t>Skenario pengujian terdefinisi</t>
        </is>
      </c>
      <c r="D10" s="18" t="inlineStr">
        <is>
          <t>—</t>
        </is>
      </c>
      <c r="E10" s="19" t="inlineStr">
        <is>
          <t>—</t>
        </is>
      </c>
      <c r="F10" s="19" t="inlineStr">
        <is>
          <t>—</t>
        </is>
      </c>
    </row>
    <row r="13">
      <c r="A13" s="14" t="inlineStr">
        <is>
          <t>2. Evaluasi Akurasi Pengukuran Fisiologis (Measurement vs Reference - Hal. 6)</t>
        </is>
      </c>
    </row>
    <row r="14" ht="24" customHeight="1">
      <c r="A14" s="20" t="inlineStr">
        <is>
          <t>Measurement</t>
        </is>
      </c>
      <c r="B14" s="20" t="inlineStr">
        <is>
          <t>Reference (Alat Medis)</t>
        </is>
      </c>
      <c r="C14" s="20" t="inlineStr">
        <is>
          <t>HajiCare Band</t>
        </is>
      </c>
      <c r="D14" s="20" t="inlineStr">
        <is>
          <t>Absolute Error</t>
        </is>
      </c>
      <c r="E14" s="20" t="inlineStr">
        <is>
          <t>Relative Error (%)</t>
        </is>
      </c>
      <c r="F14" s="20" t="inlineStr">
        <is>
          <t>Keterangan Evaluasi</t>
        </is>
      </c>
    </row>
    <row r="15" ht="20" customHeight="1">
      <c r="A15" s="21" t="inlineStr">
        <is>
          <t>Heart Rate</t>
        </is>
      </c>
      <c r="B15" s="21" t="inlineStr">
        <is>
          <t>75.0 BPM</t>
        </is>
      </c>
      <c r="C15" s="21" t="inlineStr">
        <is>
          <t>73.6 BPM</t>
        </is>
      </c>
      <c r="D15" s="21" t="inlineStr">
        <is>
          <t>1.4 BPM (Avg: 4.2 BPM)</t>
        </is>
      </c>
      <c r="E15" s="21" t="inlineStr">
        <is>
          <t>1.87%</t>
        </is>
      </c>
      <c r="F15" s="22" t="inlineStr">
        <is>
          <t>Memenuhi toleransi akurasi denyut fisiologis</t>
        </is>
      </c>
    </row>
    <row r="16" ht="20" customHeight="1">
      <c r="A16" s="21" t="inlineStr">
        <is>
          <t>Body/Skin Temperature</t>
        </is>
      </c>
      <c r="B16" s="21" t="inlineStr">
        <is>
          <t>34.00 °C</t>
        </is>
      </c>
      <c r="C16" s="21" t="inlineStr">
        <is>
          <t>33.79 °C</t>
        </is>
      </c>
      <c r="D16" s="21" t="inlineStr">
        <is>
          <t>0.21 °C</t>
        </is>
      </c>
      <c r="E16" s="21" t="inlineStr">
        <is>
          <t>0.62%</t>
        </is>
      </c>
      <c r="F16" s="22" t="inlineStr">
        <is>
          <t>Sangat presisi (memenuhi batas toleransi klinis &lt; 0.5 °C)</t>
        </is>
      </c>
    </row>
    <row r="17" ht="20" customHeight="1">
      <c r="A17" s="18" t="inlineStr">
        <is>
          <t>SpO2</t>
        </is>
      </c>
      <c r="B17" s="18" t="inlineStr">
        <is>
          <t>98.0%</t>
        </is>
      </c>
      <c r="C17" s="18" t="inlineStr">
        <is>
          <t>—</t>
        </is>
      </c>
      <c r="D17" s="18" t="inlineStr">
        <is>
          <t>—</t>
        </is>
      </c>
      <c r="E17" s="18" t="inlineStr">
        <is>
          <t>—</t>
        </is>
      </c>
      <c r="F17" s="19" t="inlineStr">
        <is>
          <t>Menunggu sensor SpO2 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2026-10-17T17:53:16Z</dcterms:created>
  <dcterms:modified xmlns:dcterms="http://purl.org/dc/terms/" xmlns:xsi="http://www.w3.org/2001/XMLSchema-instance" xsi:type="dcterms:W3CDTF">2026-10-17T17:53:16Z</dcterms:modified>
</cp:coreProperties>
</file>